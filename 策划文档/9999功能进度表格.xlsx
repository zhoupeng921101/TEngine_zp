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系统功能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<sst xmlns="http://schemas.openxmlformats.org/spreadsheetml/2006/main" count="341" uniqueCount="97">
  <si>
    <t>版本</t>
  </si>
  <si>
    <t>系统</t>
  </si>
  <si>
    <t>策划周</t>
  </si>
  <si>
    <t>UI周</t>
  </si>
  <si>
    <t>开发周</t>
  </si>
  <si>
    <t>测试周</t>
  </si>
  <si>
    <t>策划
负责人</t>
  </si>
  <si>
    <t>策划案
时间</t>
  </si>
  <si>
    <t>多方会议</t>
  </si>
  <si>
    <t>建单</t>
  </si>
  <si>
    <t>开发数据</t>
  </si>
  <si>
    <t>UI&amp;ICON
负责人</t>
  </si>
  <si>
    <t>节点</t>
  </si>
  <si>
    <t>时长(天)</t>
  </si>
  <si>
    <t>前端</t>
  </si>
  <si>
    <t>后端</t>
  </si>
  <si>
    <t>正式数据</t>
  </si>
  <si>
    <t>策划验收</t>
  </si>
  <si>
    <t>UI验收</t>
  </si>
  <si>
    <t>测试验收</t>
  </si>
  <si>
    <t>方案链接</t>
  </si>
  <si>
    <t>备注</t>
  </si>
  <si>
    <t>0前置内容</t>
  </si>
  <si>
    <t>前置</t>
  </si>
  <si>
    <t>剧情包装</t>
  </si>
  <si>
    <t>海丰</t>
  </si>
  <si>
    <t>/</t>
  </si>
  <si>
    <t>游戏内容框架</t>
  </si>
  <si>
    <t>美术风格</t>
  </si>
  <si>
    <t>UI</t>
  </si>
  <si>
    <t>UI规范</t>
  </si>
  <si>
    <t>游戏美术需求总表</t>
  </si>
  <si>
    <t>前后端通讯（数据互通）</t>
  </si>
  <si>
    <t>周鹏</t>
  </si>
  <si>
    <t>打表工具</t>
  </si>
  <si>
    <t>前端框架优化</t>
  </si>
  <si>
    <t>后端框架</t>
  </si>
  <si>
    <t>打包工具/jenkins（后面做也可）</t>
  </si>
  <si>
    <t>优先级低</t>
  </si>
  <si>
    <t>1MVP</t>
  </si>
  <si>
    <t>核心</t>
  </si>
  <si>
    <t>拖格子战斗</t>
  </si>
  <si>
    <t>随机合成图案</t>
  </si>
  <si>
    <t>收集图案</t>
  </si>
  <si>
    <t>分支</t>
  </si>
  <si>
    <t>订单</t>
  </si>
  <si>
    <t>宝箱玩法</t>
  </si>
  <si>
    <t>女神祝福</t>
  </si>
  <si>
    <t>解锁神庙</t>
  </si>
  <si>
    <t>基础</t>
  </si>
  <si>
    <t>主界面(主城界面布局，层级设定，界面总览表)</t>
  </si>
  <si>
    <t>音效底层(音效表)</t>
  </si>
  <si>
    <t>资源</t>
  </si>
  <si>
    <t>数值表底层(货币+经验+成就点等数值类型的表)</t>
  </si>
  <si>
    <t>测试</t>
  </si>
  <si>
    <t>整理测试</t>
  </si>
  <si>
    <t>2DEMO</t>
  </si>
  <si>
    <t>登录</t>
  </si>
  <si>
    <t>登录功能(单纯界面和逻辑)</t>
  </si>
  <si>
    <t>断线重连(纯程序逻辑，部分参数全局表)</t>
  </si>
  <si>
    <t>玩家信息系统(升级+界面和逻辑)</t>
  </si>
  <si>
    <t>邮箱(邮件表)</t>
  </si>
  <si>
    <t>Toast底层</t>
  </si>
  <si>
    <t>设置(单纯界面和逻辑)</t>
  </si>
  <si>
    <t>兑换码(兑换码表)</t>
  </si>
  <si>
    <t>排行榜（底层+排行榜总表+排行分类）</t>
  </si>
  <si>
    <t>道具底层(道具展示，道具表，随机表，自选表)</t>
  </si>
  <si>
    <t>背包(背包分类)</t>
  </si>
  <si>
    <t>日常</t>
  </si>
  <si>
    <t>每日签到</t>
  </si>
  <si>
    <t>每日任务/主线任务（任务+积分奖励）</t>
  </si>
  <si>
    <t>引导</t>
  </si>
  <si>
    <t>新手引导</t>
  </si>
  <si>
    <t>红点增加</t>
  </si>
  <si>
    <t>功能开启</t>
  </si>
  <si>
    <t>付费</t>
  </si>
  <si>
    <t>体力购买</t>
  </si>
  <si>
    <t>商城</t>
  </si>
  <si>
    <t>充值</t>
  </si>
  <si>
    <t>通信证系统</t>
  </si>
  <si>
    <t>demo版本测试</t>
  </si>
  <si>
    <t>3上线1</t>
  </si>
  <si>
    <t>运营</t>
  </si>
  <si>
    <t>bug反馈</t>
  </si>
  <si>
    <t>好友邀请</t>
  </si>
  <si>
    <t>订阅功能</t>
  </si>
  <si>
    <t>活动</t>
  </si>
  <si>
    <t>等级礼包(50倍性价比)</t>
  </si>
  <si>
    <t>新手礼包(50倍性价比)</t>
  </si>
  <si>
    <t>每日1元礼包（60倍性价比）</t>
  </si>
  <si>
    <t>双人收集</t>
  </si>
  <si>
    <t>金币收集活动</t>
  </si>
  <si>
    <t>支线收集</t>
  </si>
  <si>
    <t>成就奖励+令牌</t>
  </si>
  <si>
    <t>其他待定（参考浪漫餐厅）</t>
  </si>
  <si>
    <t>上线版本测试</t>
  </si>
  <si>
    <t>遇到周末顺延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</si>
</sst>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m/d;@"/>
  </numFmts>
  <fonts count="27">
    <font>
      <sz val="10"/>
      <color theme="1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54A4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11" applyNumberFormat="0" applyAlignment="0" applyProtection="0">
      <alignment vertical="center"/>
    </xf>
    <xf numFmtId="0" fontId="17" fillId="15" borderId="12" applyNumberFormat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9" fillId="1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5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 wrapText="1"/>
    </xf>
    <xf numFmtId="58" fontId="1" fillId="8" borderId="1" xfId="0" applyNumberFormat="1" applyFont="1" applyFill="1" applyBorder="1" applyAlignment="1">
      <alignment horizontal="center" vertical="center" wrapText="1"/>
    </xf>
    <xf numFmtId="58" fontId="1" fillId="4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58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58" fontId="1" fillId="7" borderId="1" xfId="0" applyNumberFormat="1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58" fontId="3" fillId="0" borderId="1" xfId="0" applyNumberFormat="1" applyFont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left" vertical="center"/>
    </xf>
    <xf numFmtId="58" fontId="3" fillId="9" borderId="1" xfId="0" applyNumberFormat="1" applyFont="1" applyFill="1" applyBorder="1" applyAlignment="1">
      <alignment horizontal="left" vertical="center"/>
    </xf>
    <xf numFmtId="58" fontId="4" fillId="5" borderId="3" xfId="0" applyNumberFormat="1" applyFont="1" applyFill="1" applyBorder="1" applyAlignment="1">
      <alignment horizontal="left" vertical="center"/>
    </xf>
    <xf numFmtId="58" fontId="3" fillId="10" borderId="1" xfId="0" applyNumberFormat="1" applyFont="1" applyFill="1" applyBorder="1" applyAlignment="1">
      <alignment horizontal="left" vertical="center"/>
    </xf>
    <xf numFmtId="58" fontId="4" fillId="5" borderId="1" xfId="0" applyNumberFormat="1" applyFont="1" applyFill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58" fontId="3" fillId="9" borderId="4" xfId="0" applyNumberFormat="1" applyFont="1" applyFill="1" applyBorder="1" applyAlignment="1">
      <alignment horizontal="left" vertical="center"/>
    </xf>
    <xf numFmtId="58" fontId="4" fillId="5" borderId="5" xfId="0" applyNumberFormat="1" applyFont="1" applyFill="1" applyBorder="1" applyAlignment="1">
      <alignment horizontal="left" vertical="center"/>
    </xf>
    <xf numFmtId="58" fontId="3" fillId="10" borderId="4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58" fontId="3" fillId="0" borderId="4" xfId="0" applyNumberFormat="1" applyFont="1" applyBorder="1" applyAlignment="1">
      <alignment horizontal="left" vertical="center"/>
    </xf>
    <xf numFmtId="58" fontId="3" fillId="11" borderId="1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58" fontId="6" fillId="0" borderId="4" xfId="0" applyNumberFormat="1" applyFont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5" borderId="0" xfId="0" applyFont="1" applyFill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58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177" fontId="3" fillId="0" borderId="6" xfId="0" applyNumberFormat="1" applyFont="1" applyBorder="1" applyAlignment="1">
      <alignment horizontal="left" vertical="center"/>
    </xf>
    <xf numFmtId="58" fontId="3" fillId="0" borderId="6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family val="2"/>
        <sz val="11"/>
        <color rgb="FF9C6500"/>
      </font>
      <fill>
        <patternFill patternType="solid">
          <bgColor rgb="FFFFEB9C"/>
        </patternFill>
      </fill>
    </dxf>
    <dxf>
      <font>
        <name val="Calibri"/>
        <scheme val="none"/>
        <family val="2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56"/>
  <sheetViews>
    <sheetView tabSelected="1" workbookViewId="0">
      <pane xSplit="3" ySplit="2" topLeftCell="D20" activePane="bottomRight" state="frozen"/>
      <selection/>
      <selection pane="topRight"/>
      <selection pane="bottomLeft"/>
      <selection pane="bottomRight" activeCell="B47" sqref="B47:B54"/>
    </sheetView>
  </sheetViews>
  <sheetFormatPr defaultColWidth="14" defaultRowHeight="12.75"/>
  <cols>
    <col min="1" max="1" width="13" customWidth="1"/>
    <col min="2" max="2" width="8.42857142857143" customWidth="1"/>
    <col min="3" max="3" width="38" customWidth="1"/>
    <col min="4" max="5" width="8" customWidth="1"/>
    <col min="6" max="7" width="7" customWidth="1"/>
    <col min="8" max="8" width="8" customWidth="1"/>
    <col min="9" max="9" width="2" customWidth="1"/>
    <col min="10" max="10" width="12" customWidth="1"/>
    <col min="11" max="11" width="10" customWidth="1"/>
    <col min="12" max="12" width="2" customWidth="1"/>
    <col min="13" max="13" width="9" customWidth="1"/>
    <col min="14" max="15" width="6" customWidth="1"/>
    <col min="16" max="16" width="7" customWidth="1"/>
    <col min="17" max="17" width="2" customWidth="1"/>
    <col min="18" max="22" width="7" customWidth="1"/>
    <col min="23" max="23" width="36" customWidth="1"/>
  </cols>
  <sheetData>
    <row r="1" ht="18" spans="1:23">
      <c r="A1" s="1" t="s">
        <v>0</v>
      </c>
      <c r="B1" s="2" t="s">
        <v>1</v>
      </c>
      <c r="C1" s="2"/>
      <c r="D1" s="3" t="s">
        <v>2</v>
      </c>
      <c r="E1" s="3"/>
      <c r="F1" s="3"/>
      <c r="G1" s="3"/>
      <c r="H1" s="3"/>
      <c r="I1" s="4"/>
      <c r="J1" s="5" t="s">
        <v>3</v>
      </c>
      <c r="K1" s="5"/>
      <c r="L1" s="4"/>
      <c r="M1" s="6" t="s">
        <v>4</v>
      </c>
      <c r="N1" s="6"/>
      <c r="O1" s="6"/>
      <c r="P1" s="6"/>
      <c r="Q1" s="4"/>
      <c r="R1" s="7" t="s">
        <v>5</v>
      </c>
      <c r="S1" s="7"/>
      <c r="T1" s="7"/>
      <c r="U1" s="7"/>
      <c r="V1" s="7"/>
      <c r="W1" s="3"/>
    </row>
    <row r="2" ht="38" customHeight="1" spans="1:23">
      <c r="A2" s="1"/>
      <c r="B2" s="2"/>
      <c r="C2" s="2"/>
      <c r="D2" s="3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4"/>
      <c r="J2" s="9" t="s">
        <v>11</v>
      </c>
      <c r="K2" s="10" t="s">
        <v>12</v>
      </c>
      <c r="L2" s="4"/>
      <c r="M2" s="6" t="s">
        <v>13</v>
      </c>
      <c r="N2" s="11" t="s">
        <v>14</v>
      </c>
      <c r="O2" s="11" t="s">
        <v>15</v>
      </c>
      <c r="P2" s="12" t="s">
        <v>12</v>
      </c>
      <c r="Q2" s="4"/>
      <c r="R2" s="7" t="s">
        <v>16</v>
      </c>
      <c r="S2" s="7" t="s">
        <v>17</v>
      </c>
      <c r="T2" s="7" t="s">
        <v>18</v>
      </c>
      <c r="U2" s="7" t="s">
        <v>19</v>
      </c>
      <c r="V2" s="13" t="s">
        <v>20</v>
      </c>
      <c r="W2" s="3" t="s">
        <v>21</v>
      </c>
    </row>
    <row r="3" ht="19" customHeight="1" spans="1:23">
      <c r="A3" s="14" t="s">
        <v>22</v>
      </c>
      <c r="B3" s="15" t="s">
        <v>23</v>
      </c>
      <c r="C3" s="16" t="s">
        <v>24</v>
      </c>
      <c r="D3" s="16" t="s">
        <v>25</v>
      </c>
      <c r="E3" s="17">
        <v>46192</v>
      </c>
      <c r="F3" s="17">
        <f t="shared" ref="F3:F4" si="0">E3+1</f>
        <v>46193</v>
      </c>
      <c r="G3" s="17" t="s">
        <v>26</v>
      </c>
      <c r="H3" s="17" t="s">
        <v>26</v>
      </c>
      <c r="I3" s="18"/>
      <c r="J3" s="17" t="s">
        <v>26</v>
      </c>
      <c r="K3" s="17" t="s">
        <v>26</v>
      </c>
      <c r="L3" s="18"/>
      <c r="M3" s="19"/>
      <c r="N3" s="17" t="s">
        <v>26</v>
      </c>
      <c r="O3" s="17" t="s">
        <v>26</v>
      </c>
      <c r="P3" s="17" t="s">
        <v>26</v>
      </c>
      <c r="Q3" s="18"/>
      <c r="R3" s="17"/>
      <c r="S3" s="17"/>
      <c r="T3" s="17"/>
      <c r="U3" s="17"/>
      <c r="V3" s="16"/>
      <c r="W3" s="16"/>
    </row>
    <row r="4" ht="18" customHeight="1" spans="1:23">
      <c r="A4" s="14" t="s">
        <v>22</v>
      </c>
      <c r="B4" s="15" t="s">
        <v>23</v>
      </c>
      <c r="C4" s="16" t="s">
        <v>27</v>
      </c>
      <c r="D4" s="16" t="s">
        <v>25</v>
      </c>
      <c r="E4" s="20">
        <v>46178</v>
      </c>
      <c r="F4" s="17">
        <f t="shared" si="0"/>
        <v>46179</v>
      </c>
      <c r="G4" s="17" t="s">
        <v>26</v>
      </c>
      <c r="H4" s="17" t="s">
        <v>26</v>
      </c>
      <c r="I4" s="21"/>
      <c r="J4" s="17" t="s">
        <v>26</v>
      </c>
      <c r="K4" s="17" t="s">
        <v>26</v>
      </c>
      <c r="L4" s="21"/>
      <c r="M4" s="19"/>
      <c r="N4" s="17" t="s">
        <v>26</v>
      </c>
      <c r="O4" s="17" t="s">
        <v>26</v>
      </c>
      <c r="P4" s="17" t="s">
        <v>26</v>
      </c>
      <c r="Q4" s="21"/>
      <c r="R4" s="17"/>
      <c r="S4" s="17"/>
      <c r="T4" s="17"/>
      <c r="U4" s="17"/>
      <c r="V4" s="16"/>
      <c r="W4" s="16"/>
    </row>
    <row r="5" ht="18" customHeight="1" spans="1:23">
      <c r="A5" s="14" t="s">
        <v>22</v>
      </c>
      <c r="B5" s="15" t="s">
        <v>23</v>
      </c>
      <c r="C5" s="16" t="s">
        <v>28</v>
      </c>
      <c r="D5" s="16" t="s">
        <v>25</v>
      </c>
      <c r="E5" s="22">
        <v>46185</v>
      </c>
      <c r="F5" s="17" t="s">
        <v>26</v>
      </c>
      <c r="G5" s="17" t="s">
        <v>26</v>
      </c>
      <c r="H5" s="17" t="s">
        <v>26</v>
      </c>
      <c r="I5" s="21"/>
      <c r="J5" s="16" t="s">
        <v>29</v>
      </c>
      <c r="K5" s="22">
        <v>46185</v>
      </c>
      <c r="L5" s="21"/>
      <c r="M5" s="19"/>
      <c r="N5" s="17" t="s">
        <v>26</v>
      </c>
      <c r="O5" s="17" t="s">
        <v>26</v>
      </c>
      <c r="P5" s="17" t="s">
        <v>26</v>
      </c>
      <c r="Q5" s="21"/>
      <c r="R5" s="17"/>
      <c r="S5" s="17"/>
      <c r="T5" s="17"/>
      <c r="U5" s="17"/>
      <c r="V5" s="16"/>
      <c r="W5" s="16"/>
    </row>
    <row r="6" ht="18" customHeight="1" spans="1:23">
      <c r="A6" s="14" t="s">
        <v>22</v>
      </c>
      <c r="B6" s="15" t="s">
        <v>23</v>
      </c>
      <c r="C6" s="16" t="s">
        <v>30</v>
      </c>
      <c r="D6" s="16" t="s">
        <v>25</v>
      </c>
      <c r="E6" s="22">
        <v>46185</v>
      </c>
      <c r="F6" s="17" t="s">
        <v>26</v>
      </c>
      <c r="G6" s="17" t="s">
        <v>26</v>
      </c>
      <c r="H6" s="17" t="s">
        <v>26</v>
      </c>
      <c r="I6" s="21"/>
      <c r="J6" s="16" t="s">
        <v>29</v>
      </c>
      <c r="K6" s="22">
        <v>46185</v>
      </c>
      <c r="L6" s="21"/>
      <c r="M6" s="19"/>
      <c r="N6" s="17" t="s">
        <v>26</v>
      </c>
      <c r="O6" s="17" t="s">
        <v>26</v>
      </c>
      <c r="P6" s="17" t="s">
        <v>26</v>
      </c>
      <c r="Q6" s="21"/>
      <c r="R6" s="17"/>
      <c r="S6" s="17"/>
      <c r="T6" s="17"/>
      <c r="U6" s="17"/>
      <c r="V6" s="16"/>
      <c r="W6" s="16"/>
    </row>
    <row r="7" ht="18" customHeight="1" spans="1:23">
      <c r="A7" s="14" t="s">
        <v>22</v>
      </c>
      <c r="B7" s="15" t="s">
        <v>23</v>
      </c>
      <c r="C7" s="16" t="s">
        <v>31</v>
      </c>
      <c r="D7" s="16" t="s">
        <v>25</v>
      </c>
      <c r="E7" s="17">
        <v>46197</v>
      </c>
      <c r="F7" s="17">
        <f>E7+1</f>
        <v>46198</v>
      </c>
      <c r="G7" s="17" t="s">
        <v>26</v>
      </c>
      <c r="H7" s="17" t="s">
        <v>26</v>
      </c>
      <c r="I7" s="23"/>
      <c r="J7" s="17" t="s">
        <v>26</v>
      </c>
      <c r="K7" s="17" t="s">
        <v>26</v>
      </c>
      <c r="L7" s="23"/>
      <c r="M7" s="19"/>
      <c r="N7" s="17" t="s">
        <v>26</v>
      </c>
      <c r="O7" s="17" t="s">
        <v>26</v>
      </c>
      <c r="P7" s="17" t="s">
        <v>26</v>
      </c>
      <c r="Q7" s="23"/>
      <c r="R7" s="17"/>
      <c r="S7" s="17"/>
      <c r="T7" s="17"/>
      <c r="U7" s="17"/>
      <c r="V7" s="16"/>
      <c r="W7" s="16"/>
    </row>
    <row r="8" ht="18" customHeight="1" spans="1:23">
      <c r="A8" s="14" t="s">
        <v>22</v>
      </c>
      <c r="B8" s="15" t="s">
        <v>23</v>
      </c>
      <c r="C8" s="16" t="s">
        <v>32</v>
      </c>
      <c r="D8" s="17" t="s">
        <v>26</v>
      </c>
      <c r="E8" s="17" t="s">
        <v>26</v>
      </c>
      <c r="F8" s="17" t="s">
        <v>26</v>
      </c>
      <c r="G8" s="17" t="s">
        <v>26</v>
      </c>
      <c r="H8" s="17" t="s">
        <v>26</v>
      </c>
      <c r="I8" s="23"/>
      <c r="J8" s="17" t="s">
        <v>26</v>
      </c>
      <c r="K8" s="17" t="s">
        <v>26</v>
      </c>
      <c r="L8" s="23"/>
      <c r="M8" s="19"/>
      <c r="N8" s="24" t="s">
        <v>33</v>
      </c>
      <c r="O8" s="24" t="s">
        <v>33</v>
      </c>
      <c r="P8" s="25">
        <v>46189</v>
      </c>
      <c r="Q8" s="26"/>
      <c r="R8" s="17"/>
      <c r="S8" s="17"/>
      <c r="T8" s="17"/>
      <c r="U8" s="17"/>
      <c r="V8" s="16"/>
      <c r="W8" s="16"/>
    </row>
    <row r="9" ht="19" customHeight="1" spans="1:23">
      <c r="A9" s="14" t="s">
        <v>22</v>
      </c>
      <c r="B9" s="15" t="s">
        <v>23</v>
      </c>
      <c r="C9" s="16" t="s">
        <v>34</v>
      </c>
      <c r="D9" s="17" t="s">
        <v>26</v>
      </c>
      <c r="E9" s="17" t="s">
        <v>26</v>
      </c>
      <c r="F9" s="17" t="s">
        <v>26</v>
      </c>
      <c r="G9" s="17" t="s">
        <v>26</v>
      </c>
      <c r="H9" s="17" t="s">
        <v>26</v>
      </c>
      <c r="I9" s="18"/>
      <c r="J9" s="17" t="s">
        <v>26</v>
      </c>
      <c r="K9" s="17" t="s">
        <v>26</v>
      </c>
      <c r="L9" s="18"/>
      <c r="M9" s="19"/>
      <c r="N9" s="24" t="s">
        <v>33</v>
      </c>
      <c r="O9" s="24" t="s">
        <v>33</v>
      </c>
      <c r="P9" s="25">
        <v>46178</v>
      </c>
      <c r="Q9" s="18"/>
      <c r="R9" s="17"/>
      <c r="S9" s="17"/>
      <c r="T9" s="17"/>
      <c r="U9" s="17"/>
      <c r="V9" s="16"/>
      <c r="W9" s="16"/>
    </row>
    <row r="10" ht="19" customHeight="1" spans="1:23">
      <c r="A10" s="14" t="s">
        <v>22</v>
      </c>
      <c r="B10" s="15" t="s">
        <v>23</v>
      </c>
      <c r="C10" s="16" t="s">
        <v>35</v>
      </c>
      <c r="D10" s="17" t="s">
        <v>26</v>
      </c>
      <c r="E10" s="17" t="s">
        <v>26</v>
      </c>
      <c r="F10" s="17" t="s">
        <v>26</v>
      </c>
      <c r="G10" s="17" t="s">
        <v>26</v>
      </c>
      <c r="H10" s="17" t="s">
        <v>26</v>
      </c>
      <c r="I10" s="18"/>
      <c r="J10" s="17" t="s">
        <v>26</v>
      </c>
      <c r="K10" s="17" t="s">
        <v>26</v>
      </c>
      <c r="L10" s="18"/>
      <c r="M10" s="19">
        <v>2</v>
      </c>
      <c r="N10" s="24" t="s">
        <v>33</v>
      </c>
      <c r="O10" s="24" t="s">
        <v>33</v>
      </c>
      <c r="P10" s="27">
        <v>46204</v>
      </c>
      <c r="Q10" s="18"/>
      <c r="R10" s="17"/>
      <c r="S10" s="17"/>
      <c r="T10" s="17"/>
      <c r="U10" s="17"/>
      <c r="V10" s="16"/>
      <c r="W10" s="16"/>
    </row>
    <row r="11" ht="16" customHeight="1" spans="1:23">
      <c r="A11" s="14" t="s">
        <v>22</v>
      </c>
      <c r="B11" s="15" t="s">
        <v>23</v>
      </c>
      <c r="C11" s="16" t="s">
        <v>36</v>
      </c>
      <c r="D11" s="17" t="s">
        <v>26</v>
      </c>
      <c r="E11" s="17" t="s">
        <v>26</v>
      </c>
      <c r="F11" s="17" t="s">
        <v>26</v>
      </c>
      <c r="G11" s="17" t="s">
        <v>26</v>
      </c>
      <c r="H11" s="17" t="s">
        <v>26</v>
      </c>
      <c r="I11" s="28"/>
      <c r="J11" s="17" t="s">
        <v>26</v>
      </c>
      <c r="K11" s="17" t="s">
        <v>26</v>
      </c>
      <c r="L11" s="28"/>
      <c r="M11" s="19">
        <v>5</v>
      </c>
      <c r="N11" s="24" t="s">
        <v>33</v>
      </c>
      <c r="O11" s="24" t="s">
        <v>33</v>
      </c>
      <c r="P11" s="25">
        <v>46189</v>
      </c>
      <c r="Q11" s="29"/>
      <c r="R11" s="17"/>
      <c r="S11" s="17"/>
      <c r="T11" s="17"/>
      <c r="U11" s="17"/>
      <c r="V11" s="16"/>
      <c r="W11" s="16"/>
    </row>
    <row r="12" ht="16" customHeight="1" spans="1:23">
      <c r="A12" s="14" t="s">
        <v>22</v>
      </c>
      <c r="B12" s="15" t="s">
        <v>23</v>
      </c>
      <c r="C12" s="16" t="s">
        <v>37</v>
      </c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28"/>
      <c r="J12" s="17" t="s">
        <v>26</v>
      </c>
      <c r="K12" s="17" t="s">
        <v>26</v>
      </c>
      <c r="L12" s="28"/>
      <c r="M12" s="19">
        <v>2</v>
      </c>
      <c r="N12" s="24" t="s">
        <v>33</v>
      </c>
      <c r="O12" s="24" t="s">
        <v>33</v>
      </c>
      <c r="P12" s="30" t="s">
        <v>38</v>
      </c>
      <c r="Q12" s="29"/>
      <c r="R12" s="17"/>
      <c r="S12" s="17"/>
      <c r="T12" s="17"/>
      <c r="U12" s="17"/>
      <c r="V12" s="16"/>
      <c r="W12" s="16"/>
    </row>
    <row r="13" ht="18" customHeight="1" spans="1:23">
      <c r="A13" s="14" t="s">
        <v>39</v>
      </c>
      <c r="B13" s="15" t="s">
        <v>40</v>
      </c>
      <c r="C13" s="16" t="s">
        <v>41</v>
      </c>
      <c r="D13" s="16" t="s">
        <v>25</v>
      </c>
      <c r="E13" s="31">
        <f t="shared" ref="E13:E23" si="1">P13-7</f>
        <v>46183</v>
      </c>
      <c r="F13" s="17">
        <f t="shared" ref="F13:F23" si="2">E13+1</f>
        <v>46184</v>
      </c>
      <c r="G13" s="17">
        <f t="shared" ref="G13:G23" si="3">F13</f>
        <v>46184</v>
      </c>
      <c r="H13" s="17">
        <f t="shared" ref="H13:H23" si="4">E13+1</f>
        <v>46184</v>
      </c>
      <c r="I13" s="32"/>
      <c r="J13" s="16" t="s">
        <v>29</v>
      </c>
      <c r="K13" s="17">
        <f t="shared" ref="K13:K23" si="5">P13-1</f>
        <v>46189</v>
      </c>
      <c r="L13" s="32"/>
      <c r="M13" s="19">
        <v>1</v>
      </c>
      <c r="N13" s="24" t="s">
        <v>33</v>
      </c>
      <c r="O13" s="24" t="s">
        <v>33</v>
      </c>
      <c r="P13" s="33">
        <v>46190</v>
      </c>
      <c r="Q13" s="34"/>
      <c r="R13" s="17">
        <v>46191</v>
      </c>
      <c r="S13" s="17">
        <v>46191</v>
      </c>
      <c r="T13" s="17">
        <v>46191</v>
      </c>
      <c r="U13" s="17">
        <v>46191</v>
      </c>
      <c r="V13" s="16"/>
      <c r="W13" s="16"/>
    </row>
    <row r="14" ht="18" customHeight="1" spans="1:23">
      <c r="A14" s="14" t="s">
        <v>39</v>
      </c>
      <c r="B14" s="15" t="s">
        <v>40</v>
      </c>
      <c r="C14" s="16" t="s">
        <v>42</v>
      </c>
      <c r="D14" s="16" t="s">
        <v>25</v>
      </c>
      <c r="E14" s="31">
        <f t="shared" si="1"/>
        <v>46184</v>
      </c>
      <c r="F14" s="17">
        <f t="shared" si="2"/>
        <v>46185</v>
      </c>
      <c r="G14" s="17">
        <f t="shared" si="3"/>
        <v>46185</v>
      </c>
      <c r="H14" s="17">
        <f t="shared" si="4"/>
        <v>46185</v>
      </c>
      <c r="I14" s="32"/>
      <c r="J14" s="16" t="s">
        <v>29</v>
      </c>
      <c r="K14" s="17">
        <f t="shared" si="5"/>
        <v>46190</v>
      </c>
      <c r="L14" s="32"/>
      <c r="M14" s="19">
        <v>1</v>
      </c>
      <c r="N14" s="24" t="s">
        <v>33</v>
      </c>
      <c r="O14" s="24" t="s">
        <v>33</v>
      </c>
      <c r="P14" s="33">
        <v>46191</v>
      </c>
      <c r="Q14" s="34"/>
      <c r="R14" s="17">
        <v>46191</v>
      </c>
      <c r="S14" s="17">
        <v>46191</v>
      </c>
      <c r="T14" s="17">
        <v>46191</v>
      </c>
      <c r="U14" s="17">
        <v>46191</v>
      </c>
      <c r="V14" s="16"/>
      <c r="W14" s="16"/>
    </row>
    <row r="15" ht="18" customHeight="1" spans="1:23">
      <c r="A15" s="14" t="s">
        <v>39</v>
      </c>
      <c r="B15" s="15" t="s">
        <v>40</v>
      </c>
      <c r="C15" s="16" t="s">
        <v>43</v>
      </c>
      <c r="D15" s="16" t="s">
        <v>25</v>
      </c>
      <c r="E15" s="31">
        <f t="shared" si="1"/>
        <v>46188</v>
      </c>
      <c r="F15" s="17">
        <f t="shared" si="2"/>
        <v>46189</v>
      </c>
      <c r="G15" s="17">
        <f t="shared" si="3"/>
        <v>46189</v>
      </c>
      <c r="H15" s="17">
        <f t="shared" si="4"/>
        <v>46189</v>
      </c>
      <c r="I15" s="32"/>
      <c r="J15" s="16" t="s">
        <v>29</v>
      </c>
      <c r="K15" s="17">
        <f t="shared" si="5"/>
        <v>46194</v>
      </c>
      <c r="L15" s="32"/>
      <c r="M15" s="19">
        <v>1</v>
      </c>
      <c r="N15" s="24" t="s">
        <v>33</v>
      </c>
      <c r="O15" s="24" t="s">
        <v>33</v>
      </c>
      <c r="P15" s="33">
        <v>46195</v>
      </c>
      <c r="Q15" s="34"/>
      <c r="R15" s="17">
        <v>46199</v>
      </c>
      <c r="S15" s="17">
        <v>46199</v>
      </c>
      <c r="T15" s="17">
        <v>46199</v>
      </c>
      <c r="U15" s="17">
        <v>46199</v>
      </c>
      <c r="V15" s="16"/>
      <c r="W15" s="16"/>
    </row>
    <row r="16" ht="18" customHeight="1" spans="1:23">
      <c r="A16" s="14" t="s">
        <v>39</v>
      </c>
      <c r="B16" s="15" t="s">
        <v>44</v>
      </c>
      <c r="C16" s="35" t="s">
        <v>45</v>
      </c>
      <c r="D16" s="16" t="s">
        <v>25</v>
      </c>
      <c r="E16" s="31">
        <f t="shared" si="1"/>
        <v>46190</v>
      </c>
      <c r="F16" s="17">
        <f t="shared" si="2"/>
        <v>46191</v>
      </c>
      <c r="G16" s="17">
        <f t="shared" si="3"/>
        <v>46191</v>
      </c>
      <c r="H16" s="17">
        <f t="shared" si="4"/>
        <v>46191</v>
      </c>
      <c r="I16" s="36"/>
      <c r="J16" s="16" t="s">
        <v>29</v>
      </c>
      <c r="K16" s="17">
        <f t="shared" si="5"/>
        <v>46196</v>
      </c>
      <c r="L16" s="36"/>
      <c r="M16" s="19">
        <v>2</v>
      </c>
      <c r="N16" s="24" t="s">
        <v>33</v>
      </c>
      <c r="O16" s="24" t="s">
        <v>33</v>
      </c>
      <c r="P16" s="30">
        <v>46197</v>
      </c>
      <c r="Q16" s="36"/>
      <c r="R16" s="17">
        <v>46199</v>
      </c>
      <c r="S16" s="17">
        <v>46199</v>
      </c>
      <c r="T16" s="17">
        <v>46199</v>
      </c>
      <c r="U16" s="17">
        <v>46199</v>
      </c>
      <c r="V16" s="16"/>
      <c r="W16" s="16"/>
    </row>
    <row r="17" ht="18" customHeight="1" spans="1:23">
      <c r="A17" s="14" t="s">
        <v>39</v>
      </c>
      <c r="B17" s="15" t="s">
        <v>44</v>
      </c>
      <c r="C17" s="37" t="s">
        <v>46</v>
      </c>
      <c r="D17" s="16" t="s">
        <v>25</v>
      </c>
      <c r="E17" s="31">
        <f t="shared" si="1"/>
        <v>46191</v>
      </c>
      <c r="F17" s="17">
        <f t="shared" si="2"/>
        <v>46192</v>
      </c>
      <c r="G17" s="17">
        <f t="shared" si="3"/>
        <v>46192</v>
      </c>
      <c r="H17" s="17">
        <f t="shared" si="4"/>
        <v>46192</v>
      </c>
      <c r="I17" s="36"/>
      <c r="J17" s="16" t="s">
        <v>29</v>
      </c>
      <c r="K17" s="17">
        <f t="shared" si="5"/>
        <v>46197</v>
      </c>
      <c r="L17" s="36"/>
      <c r="M17" s="19">
        <v>1</v>
      </c>
      <c r="N17" s="24" t="s">
        <v>33</v>
      </c>
      <c r="O17" s="24" t="s">
        <v>33</v>
      </c>
      <c r="P17" s="30">
        <v>46198</v>
      </c>
      <c r="Q17" s="36"/>
      <c r="R17" s="17">
        <v>46199</v>
      </c>
      <c r="S17" s="17">
        <v>46199</v>
      </c>
      <c r="T17" s="17">
        <v>46199</v>
      </c>
      <c r="U17" s="17">
        <v>46199</v>
      </c>
      <c r="V17" s="16"/>
      <c r="W17" s="16"/>
    </row>
    <row r="18" ht="18" customHeight="1" spans="1:23">
      <c r="A18" s="14" t="s">
        <v>39</v>
      </c>
      <c r="B18" s="15" t="s">
        <v>44</v>
      </c>
      <c r="C18" s="35" t="s">
        <v>47</v>
      </c>
      <c r="D18" s="16" t="s">
        <v>25</v>
      </c>
      <c r="E18" s="31">
        <f t="shared" si="1"/>
        <v>46192</v>
      </c>
      <c r="F18" s="17">
        <f t="shared" si="2"/>
        <v>46193</v>
      </c>
      <c r="G18" s="17">
        <f t="shared" si="3"/>
        <v>46193</v>
      </c>
      <c r="H18" s="17">
        <f t="shared" si="4"/>
        <v>46193</v>
      </c>
      <c r="I18" s="36"/>
      <c r="J18" s="16" t="s">
        <v>29</v>
      </c>
      <c r="K18" s="17">
        <f t="shared" si="5"/>
        <v>46198</v>
      </c>
      <c r="L18" s="36"/>
      <c r="M18" s="19">
        <v>1</v>
      </c>
      <c r="N18" s="24" t="s">
        <v>33</v>
      </c>
      <c r="O18" s="24" t="s">
        <v>33</v>
      </c>
      <c r="P18" s="30">
        <v>46199</v>
      </c>
      <c r="Q18" s="36"/>
      <c r="R18" s="17">
        <v>46199</v>
      </c>
      <c r="S18" s="17">
        <v>46199</v>
      </c>
      <c r="T18" s="17">
        <v>46199</v>
      </c>
      <c r="U18" s="17">
        <v>46199</v>
      </c>
      <c r="V18" s="16"/>
      <c r="W18" s="16"/>
    </row>
    <row r="19" ht="18" customHeight="1" spans="1:23">
      <c r="A19" s="14" t="s">
        <v>39</v>
      </c>
      <c r="B19" s="15" t="s">
        <v>40</v>
      </c>
      <c r="C19" s="38" t="s">
        <v>48</v>
      </c>
      <c r="D19" s="16" t="s">
        <v>25</v>
      </c>
      <c r="E19" s="17">
        <f t="shared" si="1"/>
        <v>46195</v>
      </c>
      <c r="F19" s="17">
        <f t="shared" si="2"/>
        <v>46196</v>
      </c>
      <c r="G19" s="17">
        <f t="shared" si="3"/>
        <v>46196</v>
      </c>
      <c r="H19" s="17">
        <f t="shared" si="4"/>
        <v>46196</v>
      </c>
      <c r="I19" s="32"/>
      <c r="J19" s="16" t="s">
        <v>29</v>
      </c>
      <c r="K19" s="17">
        <f t="shared" si="5"/>
        <v>46201</v>
      </c>
      <c r="L19" s="32"/>
      <c r="M19" s="39">
        <v>1</v>
      </c>
      <c r="N19" s="24" t="s">
        <v>33</v>
      </c>
      <c r="O19" s="24" t="s">
        <v>33</v>
      </c>
      <c r="P19" s="30">
        <v>46202</v>
      </c>
      <c r="Q19" s="34"/>
      <c r="R19" s="17">
        <v>46206</v>
      </c>
      <c r="S19" s="17">
        <v>46206</v>
      </c>
      <c r="T19" s="17">
        <v>46206</v>
      </c>
      <c r="U19" s="17">
        <v>46206</v>
      </c>
      <c r="V19" s="16"/>
      <c r="W19" s="16"/>
    </row>
    <row r="20" ht="18" customHeight="1" spans="1:23">
      <c r="A20" s="14" t="s">
        <v>39</v>
      </c>
      <c r="B20" s="15" t="s">
        <v>49</v>
      </c>
      <c r="C20" s="38" t="s">
        <v>50</v>
      </c>
      <c r="D20" s="16" t="s">
        <v>25</v>
      </c>
      <c r="E20" s="17">
        <f t="shared" si="1"/>
        <v>46198</v>
      </c>
      <c r="F20" s="17">
        <f t="shared" si="2"/>
        <v>46199</v>
      </c>
      <c r="G20" s="17">
        <f t="shared" si="3"/>
        <v>46199</v>
      </c>
      <c r="H20" s="17">
        <f t="shared" si="4"/>
        <v>46199</v>
      </c>
      <c r="I20" s="32"/>
      <c r="J20" s="16" t="s">
        <v>29</v>
      </c>
      <c r="K20" s="17">
        <f t="shared" si="5"/>
        <v>46204</v>
      </c>
      <c r="L20" s="32"/>
      <c r="M20" s="19">
        <v>0.5</v>
      </c>
      <c r="N20" s="24" t="s">
        <v>33</v>
      </c>
      <c r="O20" s="24" t="s">
        <v>33</v>
      </c>
      <c r="P20" s="30">
        <v>46205</v>
      </c>
      <c r="Q20" s="34"/>
      <c r="R20" s="17">
        <v>46206</v>
      </c>
      <c r="S20" s="17">
        <v>46206</v>
      </c>
      <c r="T20" s="17">
        <v>46206</v>
      </c>
      <c r="U20" s="17">
        <v>46206</v>
      </c>
      <c r="V20" s="16"/>
      <c r="W20" s="16"/>
    </row>
    <row r="21" ht="18" customHeight="1" spans="1:23">
      <c r="A21" s="14" t="s">
        <v>39</v>
      </c>
      <c r="B21" s="15" t="s">
        <v>49</v>
      </c>
      <c r="C21" s="38" t="s">
        <v>51</v>
      </c>
      <c r="D21" s="16" t="s">
        <v>25</v>
      </c>
      <c r="E21" s="31">
        <f>P21-7</f>
        <v>46199</v>
      </c>
      <c r="F21" s="17">
        <f>E21+1</f>
        <v>46200</v>
      </c>
      <c r="G21" s="17">
        <f>F21</f>
        <v>46200</v>
      </c>
      <c r="H21" s="17">
        <f>E21+1</f>
        <v>46200</v>
      </c>
      <c r="I21" s="32"/>
      <c r="J21" s="16" t="s">
        <v>29</v>
      </c>
      <c r="K21" s="17">
        <f>P21-1</f>
        <v>46205</v>
      </c>
      <c r="L21" s="32"/>
      <c r="M21" s="19">
        <v>0.5</v>
      </c>
      <c r="N21" s="24" t="s">
        <v>33</v>
      </c>
      <c r="O21" s="24" t="s">
        <v>33</v>
      </c>
      <c r="P21" s="17">
        <v>46206</v>
      </c>
      <c r="Q21" s="32"/>
      <c r="R21" s="17">
        <v>46206</v>
      </c>
      <c r="S21" s="17">
        <v>46206</v>
      </c>
      <c r="T21" s="17">
        <v>46206</v>
      </c>
      <c r="U21" s="17">
        <v>46206</v>
      </c>
      <c r="V21" s="16"/>
      <c r="W21" s="16"/>
    </row>
    <row r="22" ht="18" customHeight="1" spans="1:23">
      <c r="A22" s="14" t="s">
        <v>39</v>
      </c>
      <c r="B22" s="15" t="s">
        <v>52</v>
      </c>
      <c r="C22" s="40" t="s">
        <v>53</v>
      </c>
      <c r="D22" s="16" t="s">
        <v>25</v>
      </c>
      <c r="E22" s="31">
        <f>P22-7</f>
        <v>46199</v>
      </c>
      <c r="F22" s="17">
        <f>E22+1</f>
        <v>46200</v>
      </c>
      <c r="G22" s="17">
        <f>F22</f>
        <v>46200</v>
      </c>
      <c r="H22" s="17">
        <f>E22+1</f>
        <v>46200</v>
      </c>
      <c r="I22" s="32"/>
      <c r="J22" s="16" t="s">
        <v>29</v>
      </c>
      <c r="K22" s="17">
        <f>P22-1</f>
        <v>46205</v>
      </c>
      <c r="L22" s="32"/>
      <c r="M22" s="19">
        <v>1</v>
      </c>
      <c r="N22" s="24" t="s">
        <v>33</v>
      </c>
      <c r="O22" s="24" t="s">
        <v>33</v>
      </c>
      <c r="P22" s="17">
        <v>46206</v>
      </c>
      <c r="Q22" s="32"/>
      <c r="R22" s="17">
        <v>46206</v>
      </c>
      <c r="S22" s="17">
        <v>46206</v>
      </c>
      <c r="T22" s="17">
        <v>46206</v>
      </c>
      <c r="U22" s="17">
        <v>46206</v>
      </c>
      <c r="V22" s="16"/>
      <c r="W22" s="16"/>
    </row>
    <row r="23" ht="18" customHeight="1" spans="1:23">
      <c r="A23" s="14" t="s">
        <v>39</v>
      </c>
      <c r="B23" s="15" t="s">
        <v>54</v>
      </c>
      <c r="C23" s="40" t="s">
        <v>55</v>
      </c>
      <c r="D23" s="16"/>
      <c r="E23" s="17"/>
      <c r="F23" s="17"/>
      <c r="G23" s="17"/>
      <c r="H23" s="17"/>
      <c r="I23" s="32"/>
      <c r="J23" s="16"/>
      <c r="K23" s="17"/>
      <c r="L23" s="32"/>
      <c r="M23" s="19"/>
      <c r="N23" s="24"/>
      <c r="O23" s="24"/>
      <c r="P23" s="17"/>
      <c r="Q23" s="32"/>
      <c r="R23" s="17">
        <v>46213</v>
      </c>
      <c r="S23" s="17">
        <v>46213</v>
      </c>
      <c r="T23" s="17">
        <v>46213</v>
      </c>
      <c r="U23" s="17">
        <v>46213</v>
      </c>
      <c r="V23" s="16"/>
      <c r="W23" s="16"/>
    </row>
    <row r="24" ht="18" customHeight="1" spans="1:23">
      <c r="A24" s="14" t="s">
        <v>56</v>
      </c>
      <c r="B24" s="15" t="s">
        <v>57</v>
      </c>
      <c r="C24" s="40" t="s">
        <v>58</v>
      </c>
      <c r="D24" s="16" t="s">
        <v>25</v>
      </c>
      <c r="E24" s="41"/>
      <c r="F24" s="16"/>
      <c r="G24" s="16"/>
      <c r="H24" s="16"/>
      <c r="I24" s="32"/>
      <c r="J24" s="16"/>
      <c r="K24" s="16"/>
      <c r="L24" s="32"/>
      <c r="M24" s="17"/>
      <c r="N24" s="24"/>
      <c r="O24" s="24"/>
      <c r="P24" s="17"/>
      <c r="Q24" s="32"/>
      <c r="R24" s="16"/>
      <c r="S24" s="16"/>
      <c r="T24" s="16"/>
      <c r="U24" s="16"/>
      <c r="V24" s="16"/>
      <c r="W24" s="16"/>
    </row>
    <row r="25" ht="18" customHeight="1" spans="1:23">
      <c r="A25" s="14" t="s">
        <v>56</v>
      </c>
      <c r="B25" s="15" t="s">
        <v>57</v>
      </c>
      <c r="C25" s="40" t="s">
        <v>59</v>
      </c>
      <c r="D25" s="16" t="s">
        <v>25</v>
      </c>
      <c r="E25" s="41"/>
      <c r="F25" s="16"/>
      <c r="G25" s="16"/>
      <c r="H25" s="16"/>
      <c r="I25" s="32"/>
      <c r="J25" s="16"/>
      <c r="K25" s="16"/>
      <c r="L25" s="32"/>
      <c r="M25" s="17"/>
      <c r="N25" s="24"/>
      <c r="O25" s="24"/>
      <c r="P25" s="17"/>
      <c r="Q25" s="32"/>
      <c r="R25" s="16"/>
      <c r="S25" s="16"/>
      <c r="T25" s="16"/>
      <c r="U25" s="16"/>
      <c r="V25" s="16"/>
      <c r="W25" s="16"/>
    </row>
    <row r="26" ht="18" customHeight="1" spans="1:23">
      <c r="A26" s="14" t="s">
        <v>56</v>
      </c>
      <c r="B26" s="15" t="s">
        <v>49</v>
      </c>
      <c r="C26" s="38" t="s">
        <v>60</v>
      </c>
      <c r="D26" s="16" t="s">
        <v>25</v>
      </c>
      <c r="E26" s="41"/>
      <c r="F26" s="16"/>
      <c r="G26" s="16"/>
      <c r="H26" s="16"/>
      <c r="I26" s="32"/>
      <c r="J26" s="16"/>
      <c r="K26" s="16"/>
      <c r="L26" s="32"/>
      <c r="M26" s="17"/>
      <c r="N26" s="24"/>
      <c r="O26" s="24"/>
      <c r="P26" s="17"/>
      <c r="Q26" s="32"/>
      <c r="R26" s="16"/>
      <c r="S26" s="16"/>
      <c r="T26" s="16"/>
      <c r="U26" s="16"/>
      <c r="V26" s="16"/>
      <c r="W26" s="16"/>
    </row>
    <row r="27" ht="18" customHeight="1" spans="1:23">
      <c r="A27" s="14" t="s">
        <v>56</v>
      </c>
      <c r="B27" s="15" t="s">
        <v>49</v>
      </c>
      <c r="C27" s="38" t="s">
        <v>61</v>
      </c>
      <c r="D27" s="16" t="s">
        <v>25</v>
      </c>
      <c r="E27" s="41"/>
      <c r="F27" s="16"/>
      <c r="G27" s="16"/>
      <c r="H27" s="16"/>
      <c r="I27" s="32"/>
      <c r="J27" s="16"/>
      <c r="K27" s="16"/>
      <c r="L27" s="32"/>
      <c r="M27" s="17"/>
      <c r="N27" s="24"/>
      <c r="O27" s="24"/>
      <c r="P27" s="17"/>
      <c r="Q27" s="32"/>
      <c r="R27" s="16"/>
      <c r="S27" s="16"/>
      <c r="T27" s="16"/>
      <c r="U27" s="16"/>
      <c r="V27" s="16"/>
      <c r="W27" s="16"/>
    </row>
    <row r="28" ht="18" customHeight="1" spans="1:23">
      <c r="A28" s="14" t="s">
        <v>56</v>
      </c>
      <c r="B28" s="15" t="s">
        <v>49</v>
      </c>
      <c r="C28" s="38" t="s">
        <v>62</v>
      </c>
      <c r="D28" s="16" t="s">
        <v>25</v>
      </c>
      <c r="E28" s="31"/>
      <c r="F28" s="17"/>
      <c r="G28" s="17"/>
      <c r="H28" s="17"/>
      <c r="I28" s="32"/>
      <c r="J28" s="16"/>
      <c r="K28" s="17"/>
      <c r="L28" s="32"/>
      <c r="M28" s="19"/>
      <c r="N28" s="24"/>
      <c r="O28" s="24"/>
      <c r="P28" s="42"/>
      <c r="Q28" s="32"/>
      <c r="R28" s="17"/>
      <c r="S28" s="17"/>
      <c r="T28" s="17"/>
      <c r="U28" s="17"/>
      <c r="V28" s="16"/>
      <c r="W28" s="16"/>
    </row>
    <row r="29" ht="18" customHeight="1" spans="1:23">
      <c r="A29" s="14" t="s">
        <v>56</v>
      </c>
      <c r="B29" s="15" t="s">
        <v>49</v>
      </c>
      <c r="C29" s="38" t="s">
        <v>63</v>
      </c>
      <c r="D29" s="16" t="s">
        <v>25</v>
      </c>
      <c r="E29" s="41"/>
      <c r="F29" s="16"/>
      <c r="G29" s="16"/>
      <c r="H29" s="16"/>
      <c r="I29" s="32"/>
      <c r="J29" s="16"/>
      <c r="K29" s="16"/>
      <c r="L29" s="32"/>
      <c r="M29" s="17"/>
      <c r="N29" s="24"/>
      <c r="O29" s="24"/>
      <c r="P29" s="17"/>
      <c r="Q29" s="32"/>
      <c r="R29" s="16"/>
      <c r="S29" s="16"/>
      <c r="T29" s="16"/>
      <c r="U29" s="16"/>
      <c r="V29" s="16"/>
      <c r="W29" s="16"/>
    </row>
    <row r="30" ht="18" customHeight="1" spans="1:23">
      <c r="A30" s="14" t="s">
        <v>56</v>
      </c>
      <c r="B30" s="15" t="s">
        <v>49</v>
      </c>
      <c r="C30" s="38" t="s">
        <v>64</v>
      </c>
      <c r="D30" s="16" t="s">
        <v>25</v>
      </c>
      <c r="E30" s="41"/>
      <c r="F30" s="16"/>
      <c r="G30" s="16"/>
      <c r="H30" s="16"/>
      <c r="I30" s="32"/>
      <c r="J30" s="16"/>
      <c r="K30" s="16"/>
      <c r="L30" s="32"/>
      <c r="M30" s="17"/>
      <c r="N30" s="24"/>
      <c r="O30" s="24"/>
      <c r="P30" s="17"/>
      <c r="Q30" s="32"/>
      <c r="R30" s="16"/>
      <c r="S30" s="16"/>
      <c r="T30" s="16"/>
      <c r="U30" s="16"/>
      <c r="V30" s="16"/>
      <c r="W30" s="16"/>
    </row>
    <row r="31" ht="18" customHeight="1" spans="1:23">
      <c r="A31" s="14" t="s">
        <v>56</v>
      </c>
      <c r="B31" s="15" t="s">
        <v>49</v>
      </c>
      <c r="C31" s="38" t="s">
        <v>65</v>
      </c>
      <c r="D31" s="16" t="s">
        <v>25</v>
      </c>
      <c r="E31" s="16"/>
      <c r="F31" s="16"/>
      <c r="G31" s="16"/>
      <c r="H31" s="16"/>
      <c r="I31" s="32"/>
      <c r="J31" s="16"/>
      <c r="K31" s="16"/>
      <c r="L31" s="32"/>
      <c r="M31" s="17"/>
      <c r="N31" s="24"/>
      <c r="O31" s="24"/>
      <c r="P31" s="17"/>
      <c r="Q31" s="32"/>
      <c r="R31" s="16"/>
      <c r="S31" s="16"/>
      <c r="T31" s="16"/>
      <c r="U31" s="16"/>
      <c r="V31" s="16"/>
      <c r="W31" s="16"/>
    </row>
    <row r="32" ht="18" customHeight="1" spans="1:23">
      <c r="A32" s="14" t="s">
        <v>56</v>
      </c>
      <c r="B32" s="15" t="s">
        <v>52</v>
      </c>
      <c r="C32" s="40" t="s">
        <v>66</v>
      </c>
      <c r="D32" s="16" t="s">
        <v>25</v>
      </c>
      <c r="E32" s="41"/>
      <c r="F32" s="16"/>
      <c r="G32" s="16"/>
      <c r="H32" s="16"/>
      <c r="I32" s="32"/>
      <c r="J32" s="16"/>
      <c r="K32" s="16"/>
      <c r="L32" s="32"/>
      <c r="M32" s="17"/>
      <c r="N32" s="24"/>
      <c r="O32" s="24"/>
      <c r="P32" s="17"/>
      <c r="Q32" s="32"/>
      <c r="R32" s="16"/>
      <c r="S32" s="16"/>
      <c r="T32" s="16"/>
      <c r="U32" s="16"/>
      <c r="V32" s="16"/>
      <c r="W32" s="16"/>
    </row>
    <row r="33" ht="18" customHeight="1" spans="1:23">
      <c r="A33" s="14" t="s">
        <v>56</v>
      </c>
      <c r="B33" s="15" t="s">
        <v>52</v>
      </c>
      <c r="C33" s="40" t="s">
        <v>67</v>
      </c>
      <c r="D33" s="16" t="s">
        <v>25</v>
      </c>
      <c r="E33" s="41"/>
      <c r="F33" s="16"/>
      <c r="G33" s="16"/>
      <c r="H33" s="16"/>
      <c r="I33" s="32"/>
      <c r="J33" s="16"/>
      <c r="K33" s="16"/>
      <c r="L33" s="32"/>
      <c r="M33" s="17"/>
      <c r="N33" s="24"/>
      <c r="O33" s="24"/>
      <c r="P33" s="17"/>
      <c r="Q33" s="32"/>
      <c r="R33" s="16"/>
      <c r="S33" s="16"/>
      <c r="T33" s="16"/>
      <c r="U33" s="16"/>
      <c r="V33" s="16"/>
      <c r="W33" s="16"/>
    </row>
    <row r="34" ht="18" customHeight="1" spans="1:23">
      <c r="A34" s="14" t="s">
        <v>56</v>
      </c>
      <c r="B34" s="15" t="s">
        <v>68</v>
      </c>
      <c r="C34" s="38" t="s">
        <v>69</v>
      </c>
      <c r="D34" s="16" t="s">
        <v>25</v>
      </c>
      <c r="E34" s="16"/>
      <c r="F34" s="16"/>
      <c r="G34" s="16"/>
      <c r="H34" s="16"/>
      <c r="I34" s="36"/>
      <c r="J34" s="16"/>
      <c r="K34" s="16"/>
      <c r="L34" s="36"/>
      <c r="M34" s="17"/>
      <c r="N34" s="24"/>
      <c r="O34" s="24"/>
      <c r="P34" s="17"/>
      <c r="Q34" s="36"/>
      <c r="R34" s="16"/>
      <c r="S34" s="16"/>
      <c r="T34" s="16"/>
      <c r="U34" s="16"/>
      <c r="V34" s="16"/>
      <c r="W34" s="16"/>
    </row>
    <row r="35" ht="18" customHeight="1" spans="1:23">
      <c r="A35" s="14" t="s">
        <v>56</v>
      </c>
      <c r="B35" s="15" t="s">
        <v>68</v>
      </c>
      <c r="C35" s="37" t="s">
        <v>70</v>
      </c>
      <c r="D35" s="16" t="s">
        <v>25</v>
      </c>
      <c r="E35" s="16"/>
      <c r="F35" s="16"/>
      <c r="G35" s="16"/>
      <c r="H35" s="16"/>
      <c r="I35" s="36"/>
      <c r="J35" s="16"/>
      <c r="K35" s="16"/>
      <c r="L35" s="36"/>
      <c r="M35" s="17"/>
      <c r="N35" s="24"/>
      <c r="O35" s="24"/>
      <c r="P35" s="17"/>
      <c r="Q35" s="36"/>
      <c r="R35" s="16"/>
      <c r="S35" s="16"/>
      <c r="T35" s="16"/>
      <c r="U35" s="16"/>
      <c r="V35" s="16"/>
      <c r="W35" s="16"/>
    </row>
    <row r="36" ht="18" customHeight="1" spans="1:23">
      <c r="A36" s="14" t="s">
        <v>56</v>
      </c>
      <c r="B36" s="15" t="s">
        <v>71</v>
      </c>
      <c r="C36" s="35" t="s">
        <v>72</v>
      </c>
      <c r="D36" s="16" t="s">
        <v>25</v>
      </c>
      <c r="E36" s="16"/>
      <c r="F36" s="16"/>
      <c r="G36" s="16"/>
      <c r="H36" s="16"/>
      <c r="I36" s="36"/>
      <c r="J36" s="16"/>
      <c r="K36" s="16"/>
      <c r="L36" s="36"/>
      <c r="M36" s="17"/>
      <c r="N36" s="24"/>
      <c r="O36" s="24"/>
      <c r="P36" s="17"/>
      <c r="Q36" s="36"/>
      <c r="R36" s="16"/>
      <c r="S36" s="16"/>
      <c r="T36" s="16"/>
      <c r="U36" s="16"/>
      <c r="V36" s="16"/>
      <c r="W36" s="16"/>
    </row>
    <row r="37" ht="18" customHeight="1" spans="1:23">
      <c r="A37" s="14" t="s">
        <v>56</v>
      </c>
      <c r="B37" s="15" t="s">
        <v>71</v>
      </c>
      <c r="C37" s="35" t="s">
        <v>73</v>
      </c>
      <c r="D37" s="16" t="s">
        <v>25</v>
      </c>
      <c r="E37" s="16"/>
      <c r="F37" s="16"/>
      <c r="G37" s="16"/>
      <c r="H37" s="16"/>
      <c r="I37" s="36"/>
      <c r="J37" s="16"/>
      <c r="K37" s="16"/>
      <c r="L37" s="36"/>
      <c r="M37" s="17"/>
      <c r="N37" s="24"/>
      <c r="O37" s="24"/>
      <c r="P37" s="17"/>
      <c r="Q37" s="36"/>
      <c r="R37" s="16"/>
      <c r="S37" s="16"/>
      <c r="T37" s="16"/>
      <c r="U37" s="16"/>
      <c r="V37" s="16"/>
      <c r="W37" s="16"/>
    </row>
    <row r="38" ht="18" customHeight="1" spans="1:23">
      <c r="A38" s="14" t="s">
        <v>56</v>
      </c>
      <c r="B38" s="15" t="s">
        <v>71</v>
      </c>
      <c r="C38" s="35" t="s">
        <v>74</v>
      </c>
      <c r="D38" s="16" t="s">
        <v>25</v>
      </c>
      <c r="E38" s="16"/>
      <c r="F38" s="16"/>
      <c r="G38" s="16"/>
      <c r="H38" s="16"/>
      <c r="I38" s="36"/>
      <c r="J38" s="16"/>
      <c r="K38" s="16"/>
      <c r="L38" s="36"/>
      <c r="M38" s="17"/>
      <c r="N38" s="24"/>
      <c r="O38" s="24"/>
      <c r="P38" s="17"/>
      <c r="Q38" s="36"/>
      <c r="R38" s="16"/>
      <c r="S38" s="16"/>
      <c r="T38" s="16"/>
      <c r="U38" s="16"/>
      <c r="V38" s="16"/>
      <c r="W38" s="16"/>
    </row>
    <row r="39" ht="18" customHeight="1" spans="1:23">
      <c r="A39" s="14" t="s">
        <v>56</v>
      </c>
      <c r="B39" s="15" t="s">
        <v>75</v>
      </c>
      <c r="C39" s="38" t="s">
        <v>76</v>
      </c>
      <c r="D39" s="16" t="s">
        <v>25</v>
      </c>
      <c r="E39" s="16"/>
      <c r="F39" s="16"/>
      <c r="G39" s="16"/>
      <c r="H39" s="16"/>
      <c r="I39" s="36"/>
      <c r="J39" s="16"/>
      <c r="K39" s="16"/>
      <c r="L39" s="36"/>
      <c r="M39" s="17"/>
      <c r="N39" s="24"/>
      <c r="O39" s="24"/>
      <c r="P39" s="17"/>
      <c r="Q39" s="36"/>
      <c r="R39" s="16"/>
      <c r="S39" s="16"/>
      <c r="T39" s="16"/>
      <c r="U39" s="16"/>
      <c r="V39" s="16"/>
      <c r="W39" s="16"/>
    </row>
    <row r="40" ht="18" customHeight="1" spans="1:23">
      <c r="A40" s="14" t="s">
        <v>56</v>
      </c>
      <c r="B40" s="15" t="s">
        <v>75</v>
      </c>
      <c r="C40" s="38" t="s">
        <v>77</v>
      </c>
      <c r="D40" s="16" t="s">
        <v>25</v>
      </c>
      <c r="E40" s="16"/>
      <c r="F40" s="16"/>
      <c r="G40" s="16"/>
      <c r="H40" s="16"/>
      <c r="I40" s="36"/>
      <c r="J40" s="16"/>
      <c r="K40" s="16"/>
      <c r="L40" s="36"/>
      <c r="M40" s="17"/>
      <c r="N40" s="24"/>
      <c r="O40" s="24"/>
      <c r="P40" s="17"/>
      <c r="Q40" s="36"/>
      <c r="R40" s="16"/>
      <c r="S40" s="16"/>
      <c r="T40" s="16"/>
      <c r="U40" s="16"/>
      <c r="V40" s="16"/>
      <c r="W40" s="16"/>
    </row>
    <row r="41" ht="18" customHeight="1" spans="1:23">
      <c r="A41" s="14" t="s">
        <v>56</v>
      </c>
      <c r="B41" s="15" t="s">
        <v>75</v>
      </c>
      <c r="C41" s="38" t="s">
        <v>78</v>
      </c>
      <c r="D41" s="16" t="s">
        <v>25</v>
      </c>
      <c r="E41" s="16"/>
      <c r="F41" s="16"/>
      <c r="G41" s="16"/>
      <c r="H41" s="16"/>
      <c r="I41" s="36"/>
      <c r="J41" s="16"/>
      <c r="K41" s="16"/>
      <c r="L41" s="36"/>
      <c r="M41" s="17"/>
      <c r="N41" s="24"/>
      <c r="O41" s="24"/>
      <c r="P41" s="17"/>
      <c r="Q41" s="36"/>
      <c r="R41" s="16"/>
      <c r="S41" s="16"/>
      <c r="T41" s="16"/>
      <c r="U41" s="16"/>
      <c r="V41" s="16"/>
      <c r="W41" s="16"/>
    </row>
    <row r="42" ht="18" customHeight="1" spans="1:23">
      <c r="A42" s="14" t="s">
        <v>56</v>
      </c>
      <c r="B42" s="15" t="s">
        <v>75</v>
      </c>
      <c r="C42" s="38" t="s">
        <v>79</v>
      </c>
      <c r="D42" s="16" t="s">
        <v>25</v>
      </c>
      <c r="E42" s="16"/>
      <c r="F42" s="16"/>
      <c r="G42" s="16"/>
      <c r="H42" s="16"/>
      <c r="I42" s="36"/>
      <c r="J42" s="16"/>
      <c r="K42" s="16"/>
      <c r="L42" s="36"/>
      <c r="M42" s="17"/>
      <c r="N42" s="24"/>
      <c r="O42" s="24"/>
      <c r="P42" s="17"/>
      <c r="Q42" s="36"/>
      <c r="R42" s="16"/>
      <c r="S42" s="16"/>
      <c r="T42" s="16"/>
      <c r="U42" s="16"/>
      <c r="V42" s="16"/>
      <c r="W42" s="16"/>
    </row>
    <row r="43" ht="18" customHeight="1" spans="1:23">
      <c r="A43" s="14" t="s">
        <v>56</v>
      </c>
      <c r="B43" s="15"/>
      <c r="C43" s="16" t="s">
        <v>80</v>
      </c>
      <c r="D43" s="16" t="s">
        <v>25</v>
      </c>
      <c r="E43" s="43"/>
      <c r="F43" s="16"/>
      <c r="G43" s="16"/>
      <c r="H43" s="43"/>
      <c r="I43" s="44"/>
      <c r="J43" s="43"/>
      <c r="K43" s="43"/>
      <c r="L43" s="44"/>
      <c r="M43" s="17"/>
      <c r="N43" s="16"/>
      <c r="O43" s="16"/>
      <c r="P43" s="17"/>
      <c r="Q43" s="44"/>
      <c r="R43" s="16"/>
      <c r="S43" s="16"/>
      <c r="T43" s="16"/>
      <c r="U43" s="16"/>
      <c r="V43" s="16"/>
      <c r="W43" s="16"/>
    </row>
    <row r="44" ht="18" customHeight="1" spans="1:23">
      <c r="A44" s="14" t="s">
        <v>81</v>
      </c>
      <c r="B44" s="15" t="s">
        <v>82</v>
      </c>
      <c r="C44" s="38" t="s">
        <v>83</v>
      </c>
      <c r="D44" s="16" t="s">
        <v>25</v>
      </c>
      <c r="E44" s="16"/>
      <c r="F44" s="16"/>
      <c r="G44" s="16"/>
      <c r="H44" s="16"/>
      <c r="I44" s="36"/>
      <c r="J44" s="16"/>
      <c r="K44" s="16"/>
      <c r="L44" s="36"/>
      <c r="M44" s="17"/>
      <c r="N44" s="24"/>
      <c r="O44" s="24"/>
      <c r="P44" s="17"/>
      <c r="Q44" s="36"/>
      <c r="R44" s="16"/>
      <c r="S44" s="16"/>
      <c r="T44" s="16"/>
      <c r="U44" s="16"/>
      <c r="V44" s="16"/>
      <c r="W44" s="16"/>
    </row>
    <row r="45" ht="18" customHeight="1" spans="1:23">
      <c r="A45" s="14" t="s">
        <v>81</v>
      </c>
      <c r="B45" s="15" t="s">
        <v>82</v>
      </c>
      <c r="C45" s="38" t="s">
        <v>84</v>
      </c>
      <c r="D45" s="16" t="s">
        <v>25</v>
      </c>
      <c r="E45" s="16"/>
      <c r="F45" s="16"/>
      <c r="G45" s="16"/>
      <c r="H45" s="16"/>
      <c r="I45" s="36"/>
      <c r="J45" s="16"/>
      <c r="K45" s="16"/>
      <c r="L45" s="36"/>
      <c r="M45" s="17"/>
      <c r="N45" s="24"/>
      <c r="O45" s="24"/>
      <c r="P45" s="17"/>
      <c r="Q45" s="36"/>
      <c r="R45" s="16"/>
      <c r="S45" s="16"/>
      <c r="T45" s="16"/>
      <c r="U45" s="16"/>
      <c r="V45" s="16"/>
      <c r="W45" s="16"/>
    </row>
    <row r="46" ht="18" customHeight="1" spans="1:23">
      <c r="A46" s="14" t="s">
        <v>81</v>
      </c>
      <c r="B46" s="15" t="s">
        <v>82</v>
      </c>
      <c r="C46" s="38" t="s">
        <v>85</v>
      </c>
      <c r="D46" s="16" t="s">
        <v>25</v>
      </c>
      <c r="E46" s="16"/>
      <c r="F46" s="16"/>
      <c r="G46" s="16"/>
      <c r="H46" s="16"/>
      <c r="I46" s="36"/>
      <c r="J46" s="16"/>
      <c r="K46" s="16"/>
      <c r="L46" s="36"/>
      <c r="M46" s="17"/>
      <c r="N46" s="24"/>
      <c r="O46" s="24"/>
      <c r="P46" s="17"/>
      <c r="Q46" s="36"/>
      <c r="R46" s="16"/>
      <c r="S46" s="16"/>
      <c r="T46" s="16"/>
      <c r="U46" s="16"/>
      <c r="V46" s="16"/>
      <c r="W46" s="16"/>
    </row>
    <row r="47" ht="18" customHeight="1" spans="1:23">
      <c r="A47" s="14" t="s">
        <v>81</v>
      </c>
      <c r="B47" s="15" t="s">
        <v>86</v>
      </c>
      <c r="C47" s="38" t="s">
        <v>87</v>
      </c>
      <c r="D47" s="16" t="s">
        <v>25</v>
      </c>
      <c r="E47" s="16"/>
      <c r="F47" s="16"/>
      <c r="G47" s="16"/>
      <c r="H47" s="16"/>
      <c r="I47" s="36"/>
      <c r="J47" s="16"/>
      <c r="K47" s="16"/>
      <c r="L47" s="36"/>
      <c r="M47" s="17"/>
      <c r="N47" s="24"/>
      <c r="O47" s="24"/>
      <c r="P47" s="17"/>
      <c r="Q47" s="36"/>
      <c r="R47" s="16"/>
      <c r="S47" s="16"/>
      <c r="T47" s="16"/>
      <c r="U47" s="16"/>
      <c r="V47" s="16"/>
      <c r="W47" s="16"/>
    </row>
    <row r="48" ht="18" customHeight="1" spans="1:23">
      <c r="A48" s="14" t="s">
        <v>81</v>
      </c>
      <c r="B48" s="15" t="s">
        <v>86</v>
      </c>
      <c r="C48" s="38" t="s">
        <v>88</v>
      </c>
      <c r="D48" s="16" t="s">
        <v>25</v>
      </c>
      <c r="E48" s="16"/>
      <c r="F48" s="16"/>
      <c r="G48" s="16"/>
      <c r="H48" s="16"/>
      <c r="I48" s="36"/>
      <c r="J48" s="16"/>
      <c r="K48" s="16"/>
      <c r="L48" s="36"/>
      <c r="M48" s="17"/>
      <c r="N48" s="24"/>
      <c r="O48" s="24"/>
      <c r="P48" s="17"/>
      <c r="Q48" s="36"/>
      <c r="R48" s="16"/>
      <c r="S48" s="16"/>
      <c r="T48" s="16"/>
      <c r="U48" s="16"/>
      <c r="V48" s="16"/>
      <c r="W48" s="16"/>
    </row>
    <row r="49" ht="18" customHeight="1" spans="1:23">
      <c r="A49" s="14" t="s">
        <v>81</v>
      </c>
      <c r="B49" s="15" t="s">
        <v>86</v>
      </c>
      <c r="C49" s="38" t="s">
        <v>89</v>
      </c>
      <c r="D49" s="16" t="s">
        <v>25</v>
      </c>
      <c r="E49" s="16"/>
      <c r="F49" s="16"/>
      <c r="G49" s="16"/>
      <c r="H49" s="16"/>
      <c r="I49" s="36"/>
      <c r="J49" s="16"/>
      <c r="K49" s="16"/>
      <c r="L49" s="36"/>
      <c r="M49" s="17"/>
      <c r="N49" s="24"/>
      <c r="O49" s="24"/>
      <c r="P49" s="17"/>
      <c r="Q49" s="36"/>
      <c r="R49" s="16"/>
      <c r="S49" s="16"/>
      <c r="T49" s="16"/>
      <c r="U49" s="16"/>
      <c r="V49" s="16"/>
      <c r="W49" s="16"/>
    </row>
    <row r="50" ht="18" customHeight="1" spans="1:23">
      <c r="A50" s="14" t="s">
        <v>81</v>
      </c>
      <c r="B50" s="15" t="s">
        <v>86</v>
      </c>
      <c r="C50" s="38" t="s">
        <v>90</v>
      </c>
      <c r="D50" s="16" t="s">
        <v>25</v>
      </c>
      <c r="E50" s="16"/>
      <c r="F50" s="16"/>
      <c r="G50" s="16"/>
      <c r="H50" s="16"/>
      <c r="I50" s="36"/>
      <c r="J50" s="16"/>
      <c r="K50" s="16"/>
      <c r="L50" s="36"/>
      <c r="M50" s="17"/>
      <c r="N50" s="24"/>
      <c r="O50" s="24"/>
      <c r="P50" s="17"/>
      <c r="Q50" s="36"/>
      <c r="R50" s="16"/>
      <c r="S50" s="16"/>
      <c r="T50" s="16"/>
      <c r="U50" s="16"/>
      <c r="V50" s="16"/>
      <c r="W50" s="16"/>
    </row>
    <row r="51" ht="18" customHeight="1" spans="1:23">
      <c r="A51" s="14" t="s">
        <v>81</v>
      </c>
      <c r="B51" s="15" t="s">
        <v>86</v>
      </c>
      <c r="C51" s="38" t="s">
        <v>91</v>
      </c>
      <c r="D51" s="16" t="s">
        <v>25</v>
      </c>
      <c r="E51" s="16"/>
      <c r="F51" s="16"/>
      <c r="G51" s="16"/>
      <c r="H51" s="16"/>
      <c r="I51" s="36"/>
      <c r="J51" s="16"/>
      <c r="K51" s="16"/>
      <c r="L51" s="36"/>
      <c r="M51" s="17"/>
      <c r="N51" s="24"/>
      <c r="O51" s="24"/>
      <c r="P51" s="17"/>
      <c r="Q51" s="36"/>
      <c r="R51" s="16"/>
      <c r="S51" s="16"/>
      <c r="T51" s="16"/>
      <c r="U51" s="16"/>
      <c r="V51" s="16"/>
      <c r="W51" s="16"/>
    </row>
    <row r="52" ht="18" customHeight="1" spans="1:23">
      <c r="A52" s="14" t="s">
        <v>81</v>
      </c>
      <c r="B52" s="15" t="s">
        <v>86</v>
      </c>
      <c r="C52" s="38" t="s">
        <v>92</v>
      </c>
      <c r="D52" s="16" t="s">
        <v>25</v>
      </c>
      <c r="E52" s="16"/>
      <c r="F52" s="16"/>
      <c r="G52" s="16"/>
      <c r="H52" s="16"/>
      <c r="I52" s="36"/>
      <c r="J52" s="16"/>
      <c r="K52" s="16"/>
      <c r="L52" s="36"/>
      <c r="M52" s="17"/>
      <c r="N52" s="24"/>
      <c r="O52" s="24"/>
      <c r="P52" s="17"/>
      <c r="Q52" s="36"/>
      <c r="R52" s="16"/>
      <c r="S52" s="16"/>
      <c r="T52" s="16"/>
      <c r="U52" s="16"/>
      <c r="V52" s="16"/>
      <c r="W52" s="16"/>
    </row>
    <row r="53" ht="18" customHeight="1" spans="1:23">
      <c r="A53" s="14" t="s">
        <v>81</v>
      </c>
      <c r="B53" s="15" t="s">
        <v>86</v>
      </c>
      <c r="C53" s="38" t="s">
        <v>93</v>
      </c>
      <c r="D53" s="16" t="s">
        <v>25</v>
      </c>
      <c r="E53" s="16"/>
      <c r="F53" s="16"/>
      <c r="G53" s="16"/>
      <c r="H53" s="16"/>
      <c r="I53" s="36"/>
      <c r="J53" s="16"/>
      <c r="K53" s="16"/>
      <c r="L53" s="36"/>
      <c r="M53" s="17"/>
      <c r="N53" s="24"/>
      <c r="O53" s="24"/>
      <c r="P53" s="17"/>
      <c r="Q53" s="36"/>
      <c r="R53" s="16"/>
      <c r="S53" s="16"/>
      <c r="T53" s="16"/>
      <c r="U53" s="16"/>
      <c r="V53" s="16"/>
      <c r="W53" s="16"/>
    </row>
    <row r="54" ht="18" customHeight="1" spans="1:23">
      <c r="A54" s="14" t="s">
        <v>81</v>
      </c>
      <c r="B54" s="15" t="s">
        <v>86</v>
      </c>
      <c r="C54" s="45" t="s">
        <v>94</v>
      </c>
      <c r="D54" s="46" t="s">
        <v>25</v>
      </c>
      <c r="E54" s="46"/>
      <c r="F54" s="46"/>
      <c r="G54" s="46"/>
      <c r="H54" s="46"/>
      <c r="I54" s="36"/>
      <c r="J54" s="46"/>
      <c r="K54" s="46"/>
      <c r="L54" s="36"/>
      <c r="M54" s="17"/>
      <c r="N54" s="47"/>
      <c r="O54" s="47"/>
      <c r="P54" s="48"/>
      <c r="Q54" s="36"/>
      <c r="R54" s="46"/>
      <c r="S54" s="46"/>
      <c r="T54" s="46"/>
      <c r="U54" s="46"/>
      <c r="V54" s="46"/>
      <c r="W54" s="46"/>
    </row>
    <row r="55" ht="18" customHeight="1" spans="1:23">
      <c r="A55" s="14" t="s">
        <v>81</v>
      </c>
      <c r="B55" s="16"/>
      <c r="C55" s="49" t="s">
        <v>95</v>
      </c>
      <c r="D55" s="16" t="s">
        <v>25</v>
      </c>
      <c r="E55" s="16"/>
      <c r="F55" s="16"/>
      <c r="G55" s="16"/>
      <c r="H55" s="43"/>
      <c r="I55" s="44"/>
      <c r="J55" s="16"/>
      <c r="K55" s="16"/>
      <c r="L55" s="44"/>
      <c r="M55" s="17"/>
      <c r="N55" s="16"/>
      <c r="O55" s="16"/>
      <c r="P55" s="17"/>
      <c r="Q55" s="44"/>
      <c r="R55" s="16"/>
      <c r="S55" s="16"/>
      <c r="T55" s="16"/>
      <c r="U55" s="16"/>
      <c r="V55" s="16"/>
      <c r="W55" s="16"/>
    </row>
    <row r="56" ht="18" customHeight="1" spans="1:23">
      <c r="A56" s="50"/>
      <c r="B56" s="50"/>
      <c r="C56" s="50"/>
      <c r="D56" s="50"/>
      <c r="E56" s="50"/>
      <c r="F56" s="51" t="s">
        <v>96</v>
      </c>
      <c r="G56" s="51"/>
      <c r="H56" s="51"/>
      <c r="I56" s="44"/>
      <c r="J56" s="51" t="s">
        <v>96</v>
      </c>
      <c r="K56" s="51"/>
      <c r="L56" s="44"/>
      <c r="M56" s="50"/>
      <c r="N56" s="50"/>
      <c r="O56" s="50"/>
      <c r="P56" s="50"/>
      <c r="Q56" s="44"/>
      <c r="R56" s="51" t="s">
        <v>96</v>
      </c>
      <c r="S56" s="51"/>
      <c r="T56" s="51"/>
      <c r="U56" s="51"/>
      <c r="V56" s="50"/>
      <c r="W56" s="50"/>
    </row>
  </sheetData>
  <mergeCells count="9">
    <mergeCell ref="D1:H1"/>
    <mergeCell ref="J1:K1"/>
    <mergeCell ref="M1:P1"/>
    <mergeCell ref="R1:V1"/>
    <mergeCell ref="F56:H56"/>
    <mergeCell ref="J56:K56"/>
    <mergeCell ref="R56:U56"/>
    <mergeCell ref="A1:A2"/>
    <mergeCell ref="B1:C2"/>
  </mergeCells>
  <conditionalFormatting sqref="N$1:O$1048576">
    <cfRule type="containsText" dxfId="0" priority="2" stopIfTrue="1" operator="between" text="李旭峰">
      <formula>NOT(ISERROR(SEARCH("李旭峰",N1)))</formula>
    </cfRule>
    <cfRule type="containsText" dxfId="1" priority="3" stopIfTrue="1" operator="between" text="徐家昌">
      <formula>NOT(ISERROR(SEARCH("徐家昌",N1)))</formula>
    </cfRule>
    <cfRule type="containsText" dxfId="2" priority="4" stopIfTrue="1" operator="between" text="邓海丰">
      <formula>NOT(ISERROR(SEARCH("邓海丰",N1)))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系统功能总表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2026-06-29T07:33:00Z</dcterms:created>
  <dcterms:modified xsi:type="dcterms:W3CDTF">2026-06-30T02:45:23Z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4BF9CD6F6DB14A918CA74C72676410E4_12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